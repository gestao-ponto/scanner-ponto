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stemafieto-my.sharepoint.com/personal/andressonmouzinho_sistemafieto_com_br/Documents/Documentos/"/>
    </mc:Choice>
  </mc:AlternateContent>
  <xr:revisionPtr revIDLastSave="0" documentId="8_{93E2142A-0F59-4F84-B0F8-427C7AF9DCE4}" xr6:coauthVersionLast="47" xr6:coauthVersionMax="47" xr10:uidLastSave="{00000000-0000-0000-0000-000000000000}"/>
  <bookViews>
    <workbookView xWindow="-19320" yWindow="-120" windowWidth="19440" windowHeight="15000" xr2:uid="{00000000-000D-0000-FFFF-FFFF00000000}"/>
  </bookViews>
  <sheets>
    <sheet name="Horas " sheetId="1" r:id="rId1"/>
  </sheets>
  <definedNames>
    <definedName name="_xlnm.Print_Area" localSheetId="0">'Horas '!$A$1:$I$66</definedName>
    <definedName name="Print_Area" localSheetId="0">'Horas '!$A$1:$I$70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K60" i="1"/>
  <c r="G60" i="1"/>
  <c r="M59" i="1"/>
  <c r="F59" i="1" s="1"/>
  <c r="K59" i="1"/>
  <c r="G59" i="1"/>
  <c r="M58" i="1"/>
  <c r="K58" i="1"/>
  <c r="G58" i="1"/>
  <c r="M57" i="1"/>
  <c r="F57" i="1" s="1"/>
  <c r="K57" i="1"/>
  <c r="G57" i="1"/>
  <c r="M56" i="1"/>
  <c r="K56" i="1"/>
  <c r="G56" i="1"/>
  <c r="M55" i="1"/>
  <c r="F55" i="1" s="1"/>
  <c r="K55" i="1"/>
  <c r="G55" i="1"/>
  <c r="M54" i="1"/>
  <c r="K54" i="1"/>
  <c r="G54" i="1"/>
  <c r="M53" i="1"/>
  <c r="F53" i="1" s="1"/>
  <c r="K53" i="1"/>
  <c r="G53" i="1"/>
  <c r="M52" i="1"/>
  <c r="K52" i="1"/>
  <c r="G52" i="1"/>
  <c r="M51" i="1"/>
  <c r="F51" i="1" s="1"/>
  <c r="K51" i="1"/>
  <c r="G51" i="1"/>
  <c r="M50" i="1"/>
  <c r="K50" i="1"/>
  <c r="G50" i="1"/>
  <c r="M49" i="1"/>
  <c r="F49" i="1" s="1"/>
  <c r="K49" i="1"/>
  <c r="G49" i="1"/>
  <c r="M48" i="1"/>
  <c r="K48" i="1"/>
  <c r="G48" i="1"/>
  <c r="M47" i="1"/>
  <c r="F47" i="1" s="1"/>
  <c r="K47" i="1"/>
  <c r="G47" i="1"/>
  <c r="M46" i="1"/>
  <c r="K46" i="1"/>
  <c r="G46" i="1"/>
  <c r="M45" i="1"/>
  <c r="F45" i="1" s="1"/>
  <c r="K45" i="1"/>
  <c r="G45" i="1"/>
  <c r="M44" i="1"/>
  <c r="K44" i="1"/>
  <c r="G44" i="1"/>
  <c r="M43" i="1"/>
  <c r="F43" i="1" s="1"/>
  <c r="K43" i="1"/>
  <c r="G43" i="1"/>
  <c r="M42" i="1"/>
  <c r="K42" i="1"/>
  <c r="G42" i="1"/>
  <c r="M41" i="1"/>
  <c r="F41" i="1" s="1"/>
  <c r="K41" i="1"/>
  <c r="G41" i="1"/>
  <c r="M40" i="1"/>
  <c r="K40" i="1"/>
  <c r="G40" i="1"/>
  <c r="K39" i="1"/>
  <c r="G39" i="1"/>
  <c r="K38" i="1"/>
  <c r="G38" i="1"/>
  <c r="K37" i="1"/>
  <c r="G37" i="1"/>
  <c r="K36" i="1"/>
  <c r="G36" i="1"/>
  <c r="K35" i="1"/>
  <c r="G35" i="1"/>
  <c r="K34" i="1"/>
  <c r="G34" i="1"/>
  <c r="K33" i="1"/>
  <c r="G33" i="1"/>
  <c r="K32" i="1"/>
  <c r="G32" i="1"/>
  <c r="K31" i="1"/>
  <c r="G31" i="1"/>
  <c r="K30" i="1"/>
  <c r="G30" i="1"/>
  <c r="K29" i="1"/>
  <c r="G29" i="1"/>
  <c r="K28" i="1"/>
  <c r="G28" i="1"/>
  <c r="K27" i="1"/>
  <c r="G27" i="1"/>
  <c r="K26" i="1"/>
  <c r="G26" i="1"/>
  <c r="K25" i="1"/>
  <c r="G25" i="1"/>
  <c r="K24" i="1"/>
  <c r="G24" i="1"/>
  <c r="K23" i="1"/>
  <c r="G23" i="1"/>
  <c r="K22" i="1"/>
  <c r="G22" i="1"/>
  <c r="K21" i="1"/>
  <c r="G21" i="1"/>
  <c r="K20" i="1"/>
  <c r="G20" i="1"/>
  <c r="K19" i="1"/>
  <c r="G19" i="1"/>
  <c r="K18" i="1"/>
  <c r="G18" i="1"/>
  <c r="K17" i="1"/>
  <c r="G17" i="1"/>
  <c r="K16" i="1"/>
  <c r="L16" i="1" s="1"/>
  <c r="J16" i="1"/>
  <c r="J17" i="1" s="1"/>
  <c r="J18" i="1" s="1"/>
  <c r="E18" i="1" s="1"/>
  <c r="G16" i="1"/>
  <c r="E16" i="1"/>
  <c r="L17" i="1" l="1"/>
  <c r="M17" i="1" s="1"/>
  <c r="F17" i="1" s="1"/>
  <c r="H17" i="1" s="1"/>
  <c r="E17" i="1"/>
  <c r="M16" i="1"/>
  <c r="F16" i="1" s="1"/>
  <c r="H16" i="1" s="1"/>
  <c r="H41" i="1"/>
  <c r="H43" i="1"/>
  <c r="H45" i="1"/>
  <c r="H47" i="1"/>
  <c r="H51" i="1"/>
  <c r="F48" i="1"/>
  <c r="H48" i="1" s="1"/>
  <c r="F46" i="1"/>
  <c r="H46" i="1" s="1"/>
  <c r="F44" i="1"/>
  <c r="H44" i="1" s="1"/>
  <c r="F42" i="1"/>
  <c r="H42" i="1" s="1"/>
  <c r="F40" i="1"/>
  <c r="H40" i="1" s="1"/>
  <c r="F58" i="1"/>
  <c r="H58" i="1" s="1"/>
  <c r="F56" i="1"/>
  <c r="H56" i="1" s="1"/>
  <c r="F54" i="1"/>
  <c r="H54" i="1" s="1"/>
  <c r="F52" i="1"/>
  <c r="H52" i="1" s="1"/>
  <c r="F50" i="1"/>
  <c r="H50" i="1" s="1"/>
  <c r="H53" i="1"/>
  <c r="H55" i="1"/>
  <c r="H57" i="1"/>
  <c r="H59" i="1"/>
  <c r="H49" i="1"/>
  <c r="G61" i="1"/>
  <c r="J19" i="1"/>
  <c r="J20" i="1" l="1"/>
  <c r="E19" i="1"/>
  <c r="L18" i="1"/>
  <c r="M18" i="1" s="1"/>
  <c r="F18" i="1" s="1"/>
  <c r="H18" i="1" s="1"/>
  <c r="J21" i="1" l="1"/>
  <c r="E20" i="1"/>
  <c r="L19" i="1"/>
  <c r="J22" i="1" l="1"/>
  <c r="E21" i="1"/>
  <c r="L20" i="1"/>
  <c r="M19" i="1"/>
  <c r="F19" i="1" s="1"/>
  <c r="H19" i="1" s="1"/>
  <c r="J23" i="1" l="1"/>
  <c r="E22" i="1"/>
  <c r="L21" i="1"/>
  <c r="M21" i="1" s="1"/>
  <c r="F21" i="1" s="1"/>
  <c r="H21" i="1" s="1"/>
  <c r="M20" i="1"/>
  <c r="F20" i="1" s="1"/>
  <c r="H20" i="1" s="1"/>
  <c r="J24" i="1" l="1"/>
  <c r="E23" i="1"/>
  <c r="L22" i="1"/>
  <c r="J25" i="1" l="1"/>
  <c r="E24" i="1"/>
  <c r="L23" i="1"/>
  <c r="M22" i="1"/>
  <c r="F22" i="1" s="1"/>
  <c r="H22" i="1" s="1"/>
  <c r="J26" i="1" l="1"/>
  <c r="E25" i="1"/>
  <c r="L24" i="1"/>
  <c r="M23" i="1"/>
  <c r="F23" i="1" s="1"/>
  <c r="H23" i="1" s="1"/>
  <c r="J27" i="1" l="1"/>
  <c r="E26" i="1"/>
  <c r="L25" i="1"/>
  <c r="M24" i="1"/>
  <c r="F24" i="1" s="1"/>
  <c r="H24" i="1" s="1"/>
  <c r="J28" i="1" l="1"/>
  <c r="E27" i="1"/>
  <c r="L26" i="1"/>
  <c r="M25" i="1"/>
  <c r="F25" i="1" s="1"/>
  <c r="H25" i="1" s="1"/>
  <c r="M39" i="1"/>
  <c r="F39" i="1" s="1"/>
  <c r="J29" i="1" l="1"/>
  <c r="J30" i="1" s="1"/>
  <c r="E28" i="1"/>
  <c r="L27" i="1"/>
  <c r="M26" i="1"/>
  <c r="H39" i="1"/>
  <c r="E29" i="1" l="1"/>
  <c r="J31" i="1"/>
  <c r="E30" i="1"/>
  <c r="L28" i="1"/>
  <c r="M27" i="1"/>
  <c r="F27" i="1" s="1"/>
  <c r="H27" i="1" s="1"/>
  <c r="F26" i="1"/>
  <c r="H26" i="1" s="1"/>
  <c r="J32" i="1" l="1"/>
  <c r="E31" i="1"/>
  <c r="L29" i="1"/>
  <c r="L30" i="1" s="1"/>
  <c r="M28" i="1"/>
  <c r="J33" i="1" l="1"/>
  <c r="E32" i="1"/>
  <c r="L31" i="1"/>
  <c r="M30" i="1"/>
  <c r="M29" i="1"/>
  <c r="F29" i="1" s="1"/>
  <c r="H29" i="1" s="1"/>
  <c r="F28" i="1"/>
  <c r="J34" i="1" l="1"/>
  <c r="E33" i="1"/>
  <c r="L32" i="1"/>
  <c r="M31" i="1"/>
  <c r="F31" i="1" s="1"/>
  <c r="H31" i="1" s="1"/>
  <c r="F30" i="1"/>
  <c r="H28" i="1"/>
  <c r="J35" i="1" l="1"/>
  <c r="E34" i="1"/>
  <c r="L33" i="1"/>
  <c r="M32" i="1"/>
  <c r="H30" i="1"/>
  <c r="J36" i="1" l="1"/>
  <c r="E35" i="1"/>
  <c r="L34" i="1"/>
  <c r="M33" i="1"/>
  <c r="F32" i="1"/>
  <c r="J37" i="1" l="1"/>
  <c r="E37" i="1" s="1"/>
  <c r="E36" i="1"/>
  <c r="L35" i="1"/>
  <c r="M34" i="1"/>
  <c r="F33" i="1"/>
  <c r="H33" i="1" s="1"/>
  <c r="H32" i="1"/>
  <c r="J38" i="1" l="1"/>
  <c r="L36" i="1"/>
  <c r="M35" i="1"/>
  <c r="F35" i="1" s="1"/>
  <c r="H35" i="1" s="1"/>
  <c r="F34" i="1"/>
  <c r="H34" i="1" s="1"/>
  <c r="J39" i="1" l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E60" i="1" s="1"/>
  <c r="E38" i="1"/>
  <c r="L37" i="1"/>
  <c r="M36" i="1"/>
  <c r="F36" i="1" s="1"/>
  <c r="H36" i="1" s="1"/>
  <c r="E61" i="1" l="1"/>
  <c r="L38" i="1"/>
  <c r="M37" i="1"/>
  <c r="L39" i="1" l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M60" i="1" s="1"/>
  <c r="F60" i="1" s="1"/>
  <c r="M38" i="1"/>
  <c r="F38" i="1" s="1"/>
  <c r="H38" i="1" s="1"/>
  <c r="F37" i="1"/>
  <c r="F61" i="1" l="1"/>
  <c r="H60" i="1"/>
  <c r="H37" i="1"/>
  <c r="H61" i="1" l="1"/>
</calcChain>
</file>

<file path=xl/sharedStrings.xml><?xml version="1.0" encoding="utf-8"?>
<sst xmlns="http://schemas.openxmlformats.org/spreadsheetml/2006/main" count="53" uniqueCount="35">
  <si>
    <t>AUTORIZAÇÃO DE HORAS-EXTRAS</t>
  </si>
  <si>
    <t>Dados do Colaborador:</t>
  </si>
  <si>
    <t>Nome:</t>
  </si>
  <si>
    <t>ANDRESSON MOUZINHO DE SOUSA</t>
  </si>
  <si>
    <t>Matrícula:</t>
  </si>
  <si>
    <t>SESI</t>
  </si>
  <si>
    <t>Função:</t>
  </si>
  <si>
    <t>TÉCNICO EM INFORMÁTICA</t>
  </si>
  <si>
    <t>Entidade:</t>
  </si>
  <si>
    <t>SENAI</t>
  </si>
  <si>
    <t>IEL</t>
  </si>
  <si>
    <t>Gerente:</t>
  </si>
  <si>
    <t>NEUZELY AGUIAR DOS SANTOS</t>
  </si>
  <si>
    <t>Unidade:</t>
  </si>
  <si>
    <t>CETEC Palmas</t>
  </si>
  <si>
    <t>FIETO</t>
  </si>
  <si>
    <t>sim</t>
  </si>
  <si>
    <t>não</t>
  </si>
  <si>
    <t>Data</t>
  </si>
  <si>
    <t>Intra jornada</t>
  </si>
  <si>
    <t>Horário</t>
  </si>
  <si>
    <t>Banco de Horas</t>
  </si>
  <si>
    <t>Horas a pagar 50%</t>
  </si>
  <si>
    <t>Horas a pagar 100%</t>
  </si>
  <si>
    <t>Justificativa</t>
  </si>
  <si>
    <t>Início</t>
  </si>
  <si>
    <t>Termino</t>
  </si>
  <si>
    <t>Total</t>
  </si>
  <si>
    <t>total</t>
  </si>
  <si>
    <t>Viagem Lajeado - Lab. Informática</t>
  </si>
  <si>
    <t>Apoio conferência de gravações</t>
  </si>
  <si>
    <t>Apoio mudança de computadores</t>
  </si>
  <si>
    <t>17:04/2026</t>
  </si>
  <si>
    <t>TOTAL</t>
  </si>
  <si>
    <t>Assinatura do Gerente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</si>
</sst>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h:mm;@"/>
    <numFmt numFmtId="165" formatCode="[h]:mm:ss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164" fontId="2" fillId="2" borderId="0" xfId="0" applyNumberFormat="1" applyFont="1" applyFill="1" applyAlignment="1">
      <alignment horizontal="left"/>
    </xf>
    <xf numFmtId="9" fontId="2" fillId="2" borderId="0" xfId="0" applyNumberFormat="1" applyFont="1" applyFill="1"/>
    <xf numFmtId="164" fontId="1" fillId="3" borderId="6" xfId="0" applyNumberFormat="1" applyFon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/>
    </xf>
    <xf numFmtId="164" fontId="2" fillId="2" borderId="0" xfId="0" applyNumberFormat="1" applyFont="1" applyFill="1"/>
    <xf numFmtId="165" fontId="1" fillId="2" borderId="8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left"/>
      <protection locked="0"/>
    </xf>
    <xf numFmtId="0" fontId="1" fillId="2" borderId="1" xfId="0" applyFont="1" applyFill="1" applyBorder="1" applyProtection="1">
      <protection locked="0"/>
    </xf>
    <xf numFmtId="0" fontId="3" fillId="2" borderId="0" xfId="0" applyFont="1" applyFill="1" applyAlignment="1" applyProtection="1">
      <alignment horizontal="right"/>
      <protection locked="0"/>
    </xf>
    <xf numFmtId="164" fontId="0" fillId="2" borderId="0" xfId="0" applyNumberFormat="1" applyFill="1" applyProtection="1">
      <protection locked="0"/>
    </xf>
    <xf numFmtId="14" fontId="0" fillId="2" borderId="1" xfId="0" applyNumberFormat="1" applyFill="1" applyBorder="1" applyAlignment="1" applyProtection="1">
      <alignment horizontal="center" vertical="center"/>
      <protection locked="0"/>
    </xf>
    <xf numFmtId="14" fontId="5" fillId="3" borderId="1" xfId="0" applyNumberFormat="1" applyFont="1" applyFill="1" applyBorder="1" applyAlignment="1" applyProtection="1">
      <alignment horizontal="center" vertical="center"/>
      <protection locked="0"/>
    </xf>
    <xf numFmtId="20" fontId="0" fillId="2" borderId="1" xfId="0" applyNumberFormat="1" applyFill="1" applyBorder="1" applyAlignment="1" applyProtection="1">
      <alignment horizontal="center" vertical="center"/>
      <protection locked="0"/>
    </xf>
    <xf numFmtId="164" fontId="0" fillId="2" borderId="6" xfId="0" applyNumberForma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164" fontId="0" fillId="2" borderId="1" xfId="0" applyNumberForma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/>
      <protection locked="0"/>
    </xf>
    <xf numFmtId="165" fontId="1" fillId="2" borderId="0" xfId="0" applyNumberFormat="1" applyFont="1" applyFill="1" applyAlignment="1" applyProtection="1">
      <alignment horizontal="center"/>
      <protection locked="0"/>
    </xf>
    <xf numFmtId="165" fontId="1" fillId="2" borderId="9" xfId="0" applyNumberFormat="1" applyFont="1" applyFill="1" applyBorder="1" applyAlignment="1" applyProtection="1">
      <alignment horizontal="center"/>
      <protection locked="0"/>
    </xf>
    <xf numFmtId="0" fontId="0" fillId="2" borderId="9" xfId="0" applyFill="1" applyBorder="1" applyProtection="1"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43" fontId="0" fillId="2" borderId="0" xfId="0" applyNumberFormat="1" applyFill="1" applyAlignment="1" applyProtection="1">
      <alignment vertical="center"/>
      <protection locked="0"/>
    </xf>
    <xf numFmtId="0" fontId="0" fillId="2" borderId="0" xfId="0" applyFill="1" applyAlignment="1" applyProtection="1">
      <alignment vertical="center"/>
      <protection locked="0"/>
    </xf>
    <xf numFmtId="39" fontId="0" fillId="2" borderId="0" xfId="0" applyNumberFormat="1" applyFill="1" applyAlignment="1" applyProtection="1">
      <alignment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14" fontId="0" fillId="2" borderId="0" xfId="0" applyNumberFormat="1" applyFill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left"/>
      <protection locked="0"/>
    </xf>
    <xf numFmtId="0" fontId="1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165" fontId="0" fillId="2" borderId="8" xfId="0" applyNumberFormat="1" applyFill="1" applyBorder="1" applyAlignment="1">
      <alignment horizont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6" xfId="0" applyFont="1" applyFill="1" applyBorder="1" applyAlignment="1" applyProtection="1">
      <alignment horizontal="left"/>
      <protection locked="0"/>
    </xf>
    <xf numFmtId="0" fontId="1" fillId="2" borderId="10" xfId="0" applyFont="1" applyFill="1" applyBorder="1" applyAlignment="1" applyProtection="1">
      <alignment horizontal="left"/>
      <protection locked="0"/>
    </xf>
    <xf numFmtId="0" fontId="1" fillId="2" borderId="7" xfId="0" applyFont="1" applyFill="1" applyBorder="1" applyAlignment="1" applyProtection="1">
      <alignment horizontal="left"/>
      <protection locked="0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"/>
  <sheetViews>
    <sheetView tabSelected="1" view="pageBreakPreview" topLeftCell="A2" zoomScale="120" zoomScaleSheetLayoutView="120" workbookViewId="0">
      <selection activeCell="I21" sqref="I21"/>
    </sheetView>
  </sheetViews>
  <sheetFormatPr defaultRowHeight="15"/>
  <cols>
    <col min="1" max="1" width="12" style="2" customWidth="1"/>
    <col min="2" max="2" width="7.85546875" style="2" customWidth="1"/>
    <col min="3" max="3" width="17.5703125" style="2" bestFit="1" customWidth="1"/>
    <col min="4" max="4" width="8.42578125" style="2" bestFit="1" customWidth="1"/>
    <col min="5" max="5" width="11.28515625" style="2" customWidth="1"/>
    <col min="6" max="6" width="12.42578125" style="2" customWidth="1"/>
    <col min="7" max="7" width="11.140625" style="2" customWidth="1"/>
    <col min="8" max="8" width="11" style="2" customWidth="1"/>
    <col min="9" max="9" width="38.5703125" style="2" customWidth="1"/>
    <col min="10" max="10" width="21.7109375" style="1" hidden="1" customWidth="1"/>
    <col min="11" max="13" width="9.140625" style="1" hidden="1" customWidth="1"/>
    <col min="14" max="18" width="9.140625" style="1"/>
    <col min="19" max="16384" width="9.140625" style="2"/>
  </cols>
  <sheetData>
    <row r="1" spans="1:16">
      <c r="A1" s="47" t="s">
        <v>0</v>
      </c>
      <c r="B1" s="47"/>
      <c r="C1" s="47"/>
      <c r="D1" s="47"/>
      <c r="E1" s="47"/>
      <c r="F1" s="47"/>
      <c r="G1" s="47"/>
      <c r="H1" s="47"/>
      <c r="I1" s="47"/>
    </row>
    <row r="2" spans="1:16">
      <c r="A2" s="47"/>
      <c r="B2" s="47"/>
      <c r="C2" s="47"/>
      <c r="D2" s="47"/>
      <c r="E2" s="47"/>
      <c r="F2" s="47"/>
      <c r="G2" s="47"/>
      <c r="H2" s="47"/>
      <c r="I2" s="47"/>
    </row>
    <row r="3" spans="1:16">
      <c r="A3" s="47"/>
      <c r="B3" s="47"/>
      <c r="C3" s="47"/>
      <c r="D3" s="47"/>
      <c r="E3" s="47"/>
      <c r="F3" s="47"/>
      <c r="G3" s="47"/>
      <c r="H3" s="47"/>
      <c r="I3" s="47"/>
    </row>
    <row r="4" spans="1:16">
      <c r="A4" s="47"/>
      <c r="B4" s="47"/>
      <c r="C4" s="47"/>
      <c r="D4" s="47"/>
      <c r="E4" s="47"/>
      <c r="F4" s="47"/>
      <c r="G4" s="47"/>
      <c r="H4" s="47"/>
      <c r="I4" s="47"/>
    </row>
    <row r="5" spans="1:16">
      <c r="A5" s="16"/>
      <c r="B5" s="16"/>
      <c r="C5" s="16"/>
      <c r="D5" s="16"/>
      <c r="E5" s="16"/>
      <c r="F5" s="16"/>
      <c r="G5" s="16"/>
      <c r="H5" s="16"/>
      <c r="I5" s="16"/>
    </row>
    <row r="6" spans="1:16">
      <c r="A6" s="4" t="s">
        <v>1</v>
      </c>
      <c r="B6" s="3"/>
      <c r="C6" s="3"/>
      <c r="D6" s="3"/>
      <c r="E6" s="3"/>
      <c r="F6" s="3"/>
      <c r="G6" s="3"/>
      <c r="H6" s="3"/>
      <c r="I6" s="3"/>
    </row>
    <row r="7" spans="1:16">
      <c r="B7" s="17"/>
      <c r="C7" s="18"/>
      <c r="D7" s="18"/>
      <c r="E7" s="18"/>
      <c r="F7" s="18"/>
      <c r="G7" s="18"/>
      <c r="H7" s="18"/>
      <c r="I7" s="18"/>
    </row>
    <row r="8" spans="1:16">
      <c r="A8" s="5" t="s">
        <v>2</v>
      </c>
      <c r="B8" s="48" t="s">
        <v>3</v>
      </c>
      <c r="C8" s="48"/>
      <c r="D8" s="48"/>
      <c r="E8" s="48"/>
      <c r="F8" s="48"/>
      <c r="G8" s="19"/>
      <c r="H8" s="5" t="s">
        <v>4</v>
      </c>
      <c r="I8" s="20">
        <v>1806</v>
      </c>
      <c r="J8" s="6" t="s">
        <v>5</v>
      </c>
    </row>
    <row r="9" spans="1:16">
      <c r="A9" s="5" t="s">
        <v>6</v>
      </c>
      <c r="B9" s="48" t="s">
        <v>7</v>
      </c>
      <c r="C9" s="48"/>
      <c r="D9" s="48"/>
      <c r="E9" s="48"/>
      <c r="F9" s="48"/>
      <c r="G9" s="19"/>
      <c r="H9" s="5" t="s">
        <v>8</v>
      </c>
      <c r="I9" s="20" t="s">
        <v>9</v>
      </c>
      <c r="J9" s="6" t="s">
        <v>9</v>
      </c>
    </row>
    <row r="10" spans="1:16">
      <c r="A10" s="5"/>
      <c r="B10" s="21"/>
      <c r="C10" s="19"/>
      <c r="D10" s="19"/>
      <c r="E10" s="19"/>
      <c r="F10" s="19"/>
      <c r="G10" s="19"/>
      <c r="H10" s="3"/>
      <c r="I10" s="16"/>
      <c r="J10" s="6" t="s">
        <v>10</v>
      </c>
    </row>
    <row r="11" spans="1:16">
      <c r="A11" s="5" t="s">
        <v>11</v>
      </c>
      <c r="B11" s="49" t="s">
        <v>12</v>
      </c>
      <c r="C11" s="50"/>
      <c r="D11" s="50"/>
      <c r="E11" s="50"/>
      <c r="F11" s="51"/>
      <c r="G11" s="19"/>
      <c r="H11" s="5" t="s">
        <v>13</v>
      </c>
      <c r="I11" s="42" t="s">
        <v>14</v>
      </c>
      <c r="J11" s="6" t="s">
        <v>15</v>
      </c>
    </row>
    <row r="12" spans="1:16">
      <c r="B12" s="18"/>
      <c r="C12" s="18"/>
      <c r="D12" s="18"/>
      <c r="E12" s="18"/>
      <c r="F12" s="18"/>
      <c r="G12" s="18"/>
      <c r="I12" s="18"/>
      <c r="J12" s="7" t="s">
        <v>16</v>
      </c>
    </row>
    <row r="13" spans="1:16" hidden="1">
      <c r="A13" s="22">
        <v>8.3333333333333329E-2</v>
      </c>
      <c r="B13" s="22"/>
      <c r="C13" s="18"/>
      <c r="D13" s="18"/>
      <c r="E13" s="18"/>
      <c r="F13" s="18"/>
      <c r="G13" s="18"/>
      <c r="H13" s="18"/>
      <c r="I13" s="18"/>
      <c r="J13" s="1" t="s">
        <v>17</v>
      </c>
    </row>
    <row r="14" spans="1:16" ht="15" customHeight="1">
      <c r="A14" s="43" t="s">
        <v>18</v>
      </c>
      <c r="B14" s="52" t="s">
        <v>19</v>
      </c>
      <c r="C14" s="54" t="s">
        <v>20</v>
      </c>
      <c r="D14" s="54"/>
      <c r="E14" s="54"/>
      <c r="F14" s="55" t="s">
        <v>21</v>
      </c>
      <c r="G14" s="55" t="s">
        <v>22</v>
      </c>
      <c r="H14" s="55" t="s">
        <v>23</v>
      </c>
      <c r="I14" s="43" t="s">
        <v>24</v>
      </c>
      <c r="J14" s="2"/>
    </row>
    <row r="15" spans="1:16">
      <c r="A15" s="43"/>
      <c r="B15" s="53"/>
      <c r="C15" s="15" t="s">
        <v>25</v>
      </c>
      <c r="D15" s="15" t="s">
        <v>26</v>
      </c>
      <c r="E15" s="15" t="s">
        <v>27</v>
      </c>
      <c r="F15" s="56"/>
      <c r="G15" s="56"/>
      <c r="H15" s="56"/>
      <c r="I15" s="43"/>
      <c r="J15" s="1" t="s">
        <v>28</v>
      </c>
      <c r="P15" s="8"/>
    </row>
    <row r="16" spans="1:16" ht="15" customHeight="1">
      <c r="A16" s="23">
        <v>46108</v>
      </c>
      <c r="B16" s="24" t="s">
        <v>17</v>
      </c>
      <c r="C16" s="25">
        <v>0.75</v>
      </c>
      <c r="D16" s="26">
        <v>0.78472222222222221</v>
      </c>
      <c r="E16" s="9">
        <f>IF(A17=A16,0,D16-C16)</f>
        <v>3.472222222222221E-2</v>
      </c>
      <c r="F16" s="10">
        <f>IF(M1616&gt;=$A$13,$A$13,M16)</f>
        <v>3.472222222222221E-2</v>
      </c>
      <c r="G16" s="11" t="str">
        <f>IF(B16="sim",(D16-C16),"0:00")</f>
        <v>0:00</v>
      </c>
      <c r="H16" s="10">
        <f>M16-F16</f>
        <v>0</v>
      </c>
      <c r="I16" s="27" t="s">
        <v>29</v>
      </c>
      <c r="J16" s="12">
        <f>D16-C16</f>
        <v>3.472222222222221E-2</v>
      </c>
      <c r="K16" s="13">
        <f>IF(B16="SIM",0,(D16-C16))</f>
        <v>3.472222222222221E-2</v>
      </c>
      <c r="L16" s="13">
        <f>K16</f>
        <v>3.472222222222221E-2</v>
      </c>
      <c r="M16" s="13">
        <f>IF(A17=A16,0,L16)</f>
        <v>3.472222222222221E-2</v>
      </c>
      <c r="N16" s="13"/>
      <c r="O16" s="13"/>
    </row>
    <row r="17" spans="1:15">
      <c r="A17" s="23">
        <v>46121</v>
      </c>
      <c r="B17" s="24" t="s">
        <v>17</v>
      </c>
      <c r="C17" s="25">
        <v>0.75</v>
      </c>
      <c r="D17" s="26">
        <v>0.79374999999999996</v>
      </c>
      <c r="E17" s="9">
        <f t="shared" ref="E17:E60" si="0">IF(A17=A18,0,J17)</f>
        <v>4.3749999999999956E-2</v>
      </c>
      <c r="F17" s="10">
        <f t="shared" ref="F17:F20" si="1">IF(M17&gt;=$A$13,$A$13,M17)</f>
        <v>4.3749999999999956E-2</v>
      </c>
      <c r="G17" s="11" t="str">
        <f t="shared" ref="G17:G60" si="2">IF(B17="sim",(D17-C17),"0:00")</f>
        <v>0:00</v>
      </c>
      <c r="H17" s="10">
        <f>M17-F17</f>
        <v>0</v>
      </c>
      <c r="I17" s="27" t="s">
        <v>30</v>
      </c>
      <c r="J17" s="12">
        <f t="shared" ref="J17:J60" si="3">IF(A17=A16,(D17-C17+J16),(D17-C17))</f>
        <v>4.3749999999999956E-2</v>
      </c>
      <c r="K17" s="13">
        <f t="shared" ref="K17:K60" si="4">IF(B17="SIM",0,(D17-C17))</f>
        <v>4.3749999999999956E-2</v>
      </c>
      <c r="L17" s="13">
        <f>IF(A17=A16,(K17+L16),(K17))</f>
        <v>4.3749999999999956E-2</v>
      </c>
      <c r="M17" s="13">
        <f t="shared" ref="M17:M60" si="5">IF(A18=A17,0,L17)</f>
        <v>4.3749999999999956E-2</v>
      </c>
      <c r="N17" s="13"/>
      <c r="O17" s="13"/>
    </row>
    <row r="18" spans="1:15">
      <c r="A18" s="23">
        <v>46129</v>
      </c>
      <c r="B18" s="24" t="s">
        <v>16</v>
      </c>
      <c r="C18" s="25">
        <v>0.55000000000000004</v>
      </c>
      <c r="D18" s="25">
        <v>0.58333333333333337</v>
      </c>
      <c r="E18" s="9">
        <f t="shared" si="0"/>
        <v>3.3333333333333326E-2</v>
      </c>
      <c r="F18" s="10">
        <f t="shared" si="1"/>
        <v>0</v>
      </c>
      <c r="G18" s="11">
        <f t="shared" si="2"/>
        <v>3.3333333333333326E-2</v>
      </c>
      <c r="H18" s="10">
        <f>M18-F18</f>
        <v>0</v>
      </c>
      <c r="I18" s="27" t="s">
        <v>31</v>
      </c>
      <c r="J18" s="12">
        <f>IF(A18=A17,(D18-C18+J17),(D18-C18))</f>
        <v>3.3333333333333326E-2</v>
      </c>
      <c r="K18" s="13">
        <f t="shared" si="4"/>
        <v>0</v>
      </c>
      <c r="L18" s="13">
        <f t="shared" ref="L18:L60" si="6">IF(A18=A17,(K18+L17),(K18))</f>
        <v>0</v>
      </c>
      <c r="M18" s="13">
        <f t="shared" si="5"/>
        <v>0</v>
      </c>
      <c r="N18" s="13"/>
      <c r="O18" s="13"/>
    </row>
    <row r="19" spans="1:15">
      <c r="A19" s="23" t="s">
        <v>32</v>
      </c>
      <c r="B19" s="24" t="s">
        <v>17</v>
      </c>
      <c r="C19" s="25">
        <v>0.75</v>
      </c>
      <c r="D19" s="25">
        <v>0.76875000000000004</v>
      </c>
      <c r="E19" s="9">
        <f t="shared" si="0"/>
        <v>1.8750000000000044E-2</v>
      </c>
      <c r="F19" s="10">
        <f t="shared" si="1"/>
        <v>1.8750000000000044E-2</v>
      </c>
      <c r="G19" s="11" t="str">
        <f t="shared" si="2"/>
        <v>0:00</v>
      </c>
      <c r="H19" s="10">
        <f t="shared" ref="H19:H60" si="7">M19-F19</f>
        <v>0</v>
      </c>
      <c r="I19" s="27" t="s">
        <v>31</v>
      </c>
      <c r="J19" s="12">
        <f t="shared" si="3"/>
        <v>1.8750000000000044E-2</v>
      </c>
      <c r="K19" s="13">
        <f t="shared" si="4"/>
        <v>1.8750000000000044E-2</v>
      </c>
      <c r="L19" s="13">
        <f t="shared" si="6"/>
        <v>1.8750000000000044E-2</v>
      </c>
      <c r="M19" s="13">
        <f t="shared" si="5"/>
        <v>1.8750000000000044E-2</v>
      </c>
      <c r="N19" s="13"/>
      <c r="O19" s="13"/>
    </row>
    <row r="20" spans="1:15">
      <c r="A20" s="23"/>
      <c r="B20" s="24" t="s">
        <v>17</v>
      </c>
      <c r="C20" s="28"/>
      <c r="D20" s="26"/>
      <c r="E20" s="9">
        <f t="shared" si="0"/>
        <v>0</v>
      </c>
      <c r="F20" s="10">
        <f t="shared" si="1"/>
        <v>0</v>
      </c>
      <c r="G20" s="11" t="str">
        <f t="shared" si="2"/>
        <v>0:00</v>
      </c>
      <c r="H20" s="10">
        <f t="shared" si="7"/>
        <v>0</v>
      </c>
      <c r="I20" s="27"/>
      <c r="J20" s="12">
        <f t="shared" si="3"/>
        <v>0</v>
      </c>
      <c r="K20" s="13">
        <f t="shared" si="4"/>
        <v>0</v>
      </c>
      <c r="L20" s="13">
        <f t="shared" si="6"/>
        <v>0</v>
      </c>
      <c r="M20" s="13">
        <f t="shared" si="5"/>
        <v>0</v>
      </c>
      <c r="N20" s="13"/>
      <c r="O20" s="13"/>
    </row>
    <row r="21" spans="1:15">
      <c r="A21" s="23"/>
      <c r="B21" s="24" t="s">
        <v>17</v>
      </c>
      <c r="C21" s="25"/>
      <c r="D21" s="26"/>
      <c r="E21" s="9">
        <f t="shared" si="0"/>
        <v>0</v>
      </c>
      <c r="F21" s="10">
        <f>IF(M21&gt;=$A$13,$A$13,M21)</f>
        <v>0</v>
      </c>
      <c r="G21" s="11" t="str">
        <f t="shared" si="2"/>
        <v>0:00</v>
      </c>
      <c r="H21" s="10">
        <f t="shared" si="7"/>
        <v>0</v>
      </c>
      <c r="I21" s="27"/>
      <c r="J21" s="12">
        <f t="shared" si="3"/>
        <v>0</v>
      </c>
      <c r="K21" s="13">
        <f t="shared" si="4"/>
        <v>0</v>
      </c>
      <c r="L21" s="13">
        <f t="shared" si="6"/>
        <v>0</v>
      </c>
      <c r="M21" s="13">
        <f t="shared" si="5"/>
        <v>0</v>
      </c>
      <c r="N21" s="13"/>
      <c r="O21" s="13"/>
    </row>
    <row r="22" spans="1:15">
      <c r="A22" s="23"/>
      <c r="B22" s="24" t="s">
        <v>17</v>
      </c>
      <c r="C22" s="25"/>
      <c r="D22" s="26"/>
      <c r="E22" s="9">
        <f t="shared" si="0"/>
        <v>0</v>
      </c>
      <c r="F22" s="10">
        <f t="shared" ref="F22:F59" si="8">IF(M22&gt;=$A$13,$A$13,M22)</f>
        <v>0</v>
      </c>
      <c r="G22" s="11" t="str">
        <f t="shared" si="2"/>
        <v>0:00</v>
      </c>
      <c r="H22" s="10">
        <f>M22-F22</f>
        <v>0</v>
      </c>
      <c r="I22" s="27"/>
      <c r="J22" s="12">
        <f t="shared" si="3"/>
        <v>0</v>
      </c>
      <c r="K22" s="13">
        <f t="shared" si="4"/>
        <v>0</v>
      </c>
      <c r="L22" s="13">
        <f t="shared" si="6"/>
        <v>0</v>
      </c>
      <c r="M22" s="13">
        <f t="shared" si="5"/>
        <v>0</v>
      </c>
      <c r="N22" s="13"/>
      <c r="O22" s="13"/>
    </row>
    <row r="23" spans="1:15">
      <c r="A23" s="23"/>
      <c r="B23" s="24" t="s">
        <v>17</v>
      </c>
      <c r="C23" s="28"/>
      <c r="D23" s="26"/>
      <c r="E23" s="9">
        <f t="shared" si="0"/>
        <v>0</v>
      </c>
      <c r="F23" s="10">
        <f t="shared" si="8"/>
        <v>0</v>
      </c>
      <c r="G23" s="11" t="str">
        <f t="shared" si="2"/>
        <v>0:00</v>
      </c>
      <c r="H23" s="10">
        <f t="shared" si="7"/>
        <v>0</v>
      </c>
      <c r="I23" s="27"/>
      <c r="J23" s="12">
        <f t="shared" si="3"/>
        <v>0</v>
      </c>
      <c r="K23" s="13">
        <f t="shared" si="4"/>
        <v>0</v>
      </c>
      <c r="L23" s="13">
        <f t="shared" si="6"/>
        <v>0</v>
      </c>
      <c r="M23" s="13">
        <f t="shared" si="5"/>
        <v>0</v>
      </c>
      <c r="N23" s="13"/>
      <c r="O23" s="13"/>
    </row>
    <row r="24" spans="1:15">
      <c r="A24" s="23"/>
      <c r="B24" s="24" t="s">
        <v>17</v>
      </c>
      <c r="C24" s="28"/>
      <c r="D24" s="26"/>
      <c r="E24" s="9">
        <f t="shared" si="0"/>
        <v>0</v>
      </c>
      <c r="F24" s="10">
        <f t="shared" si="8"/>
        <v>0</v>
      </c>
      <c r="G24" s="11" t="str">
        <f t="shared" si="2"/>
        <v>0:00</v>
      </c>
      <c r="H24" s="10">
        <f t="shared" si="7"/>
        <v>0</v>
      </c>
      <c r="I24" s="27"/>
      <c r="J24" s="12">
        <f t="shared" si="3"/>
        <v>0</v>
      </c>
      <c r="K24" s="13">
        <f t="shared" si="4"/>
        <v>0</v>
      </c>
      <c r="L24" s="13">
        <f t="shared" si="6"/>
        <v>0</v>
      </c>
      <c r="M24" s="13">
        <f t="shared" si="5"/>
        <v>0</v>
      </c>
      <c r="N24" s="13"/>
      <c r="O24" s="13"/>
    </row>
    <row r="25" spans="1:15">
      <c r="A25" s="23"/>
      <c r="B25" s="24" t="s">
        <v>17</v>
      </c>
      <c r="C25" s="28"/>
      <c r="D25" s="26"/>
      <c r="E25" s="9">
        <f t="shared" si="0"/>
        <v>0</v>
      </c>
      <c r="F25" s="10">
        <f t="shared" si="8"/>
        <v>0</v>
      </c>
      <c r="G25" s="11" t="str">
        <f t="shared" si="2"/>
        <v>0:00</v>
      </c>
      <c r="H25" s="10">
        <f t="shared" si="7"/>
        <v>0</v>
      </c>
      <c r="I25" s="27"/>
      <c r="J25" s="12">
        <f t="shared" si="3"/>
        <v>0</v>
      </c>
      <c r="K25" s="13">
        <f t="shared" si="4"/>
        <v>0</v>
      </c>
      <c r="L25" s="13">
        <f t="shared" si="6"/>
        <v>0</v>
      </c>
      <c r="M25" s="13">
        <f t="shared" si="5"/>
        <v>0</v>
      </c>
      <c r="N25" s="13"/>
      <c r="O25" s="13"/>
    </row>
    <row r="26" spans="1:15">
      <c r="A26" s="23"/>
      <c r="B26" s="24" t="s">
        <v>17</v>
      </c>
      <c r="C26" s="25"/>
      <c r="D26" s="26"/>
      <c r="E26" s="9">
        <f t="shared" si="0"/>
        <v>0</v>
      </c>
      <c r="F26" s="10">
        <f t="shared" si="8"/>
        <v>0</v>
      </c>
      <c r="G26" s="11" t="str">
        <f t="shared" si="2"/>
        <v>0:00</v>
      </c>
      <c r="H26" s="10">
        <f t="shared" si="7"/>
        <v>0</v>
      </c>
      <c r="I26" s="27"/>
      <c r="J26" s="12">
        <f t="shared" si="3"/>
        <v>0</v>
      </c>
      <c r="K26" s="13">
        <f t="shared" si="4"/>
        <v>0</v>
      </c>
      <c r="L26" s="13">
        <f t="shared" si="6"/>
        <v>0</v>
      </c>
      <c r="M26" s="13">
        <f t="shared" si="5"/>
        <v>0</v>
      </c>
      <c r="N26" s="13"/>
      <c r="O26" s="13"/>
    </row>
    <row r="27" spans="1:15">
      <c r="A27" s="23"/>
      <c r="B27" s="24" t="s">
        <v>17</v>
      </c>
      <c r="C27" s="25"/>
      <c r="D27" s="26"/>
      <c r="E27" s="9">
        <f t="shared" si="0"/>
        <v>0</v>
      </c>
      <c r="F27" s="10">
        <f t="shared" si="8"/>
        <v>0</v>
      </c>
      <c r="G27" s="11" t="str">
        <f t="shared" si="2"/>
        <v>0:00</v>
      </c>
      <c r="H27" s="10">
        <f t="shared" si="7"/>
        <v>0</v>
      </c>
      <c r="I27" s="27"/>
      <c r="J27" s="12">
        <f t="shared" si="3"/>
        <v>0</v>
      </c>
      <c r="K27" s="13">
        <f t="shared" si="4"/>
        <v>0</v>
      </c>
      <c r="L27" s="13">
        <f t="shared" si="6"/>
        <v>0</v>
      </c>
      <c r="M27" s="13">
        <f t="shared" si="5"/>
        <v>0</v>
      </c>
      <c r="N27" s="13"/>
      <c r="O27" s="13"/>
    </row>
    <row r="28" spans="1:15">
      <c r="A28" s="23"/>
      <c r="B28" s="24" t="s">
        <v>17</v>
      </c>
      <c r="C28" s="28"/>
      <c r="D28" s="26"/>
      <c r="E28" s="9">
        <f t="shared" si="0"/>
        <v>0</v>
      </c>
      <c r="F28" s="10">
        <f t="shared" si="8"/>
        <v>0</v>
      </c>
      <c r="G28" s="11" t="str">
        <f t="shared" si="2"/>
        <v>0:00</v>
      </c>
      <c r="H28" s="10">
        <f t="shared" si="7"/>
        <v>0</v>
      </c>
      <c r="I28" s="27"/>
      <c r="J28" s="12">
        <f t="shared" si="3"/>
        <v>0</v>
      </c>
      <c r="K28" s="13">
        <f t="shared" si="4"/>
        <v>0</v>
      </c>
      <c r="L28" s="13">
        <f t="shared" si="6"/>
        <v>0</v>
      </c>
      <c r="M28" s="13">
        <f t="shared" si="5"/>
        <v>0</v>
      </c>
      <c r="N28" s="13"/>
      <c r="O28" s="13"/>
    </row>
    <row r="29" spans="1:15">
      <c r="A29" s="23"/>
      <c r="B29" s="24" t="s">
        <v>17</v>
      </c>
      <c r="C29" s="28"/>
      <c r="D29" s="26"/>
      <c r="E29" s="9">
        <f t="shared" si="0"/>
        <v>0</v>
      </c>
      <c r="F29" s="10">
        <f t="shared" si="8"/>
        <v>0</v>
      </c>
      <c r="G29" s="11" t="str">
        <f t="shared" si="2"/>
        <v>0:00</v>
      </c>
      <c r="H29" s="10">
        <f t="shared" si="7"/>
        <v>0</v>
      </c>
      <c r="I29" s="27"/>
      <c r="J29" s="12">
        <f t="shared" si="3"/>
        <v>0</v>
      </c>
      <c r="K29" s="13">
        <f t="shared" si="4"/>
        <v>0</v>
      </c>
      <c r="L29" s="13">
        <f t="shared" si="6"/>
        <v>0</v>
      </c>
      <c r="M29" s="13">
        <f t="shared" si="5"/>
        <v>0</v>
      </c>
      <c r="N29" s="13"/>
      <c r="O29" s="13"/>
    </row>
    <row r="30" spans="1:15">
      <c r="A30" s="23"/>
      <c r="B30" s="24" t="s">
        <v>17</v>
      </c>
      <c r="C30" s="25"/>
      <c r="D30" s="26"/>
      <c r="E30" s="9">
        <f t="shared" si="0"/>
        <v>0</v>
      </c>
      <c r="F30" s="10">
        <f t="shared" si="8"/>
        <v>0</v>
      </c>
      <c r="G30" s="11" t="str">
        <f t="shared" si="2"/>
        <v>0:00</v>
      </c>
      <c r="H30" s="10">
        <f t="shared" si="7"/>
        <v>0</v>
      </c>
      <c r="I30" s="27"/>
      <c r="J30" s="12">
        <f t="shared" si="3"/>
        <v>0</v>
      </c>
      <c r="K30" s="13">
        <f t="shared" si="4"/>
        <v>0</v>
      </c>
      <c r="L30" s="13">
        <f t="shared" si="6"/>
        <v>0</v>
      </c>
      <c r="M30" s="13">
        <f t="shared" si="5"/>
        <v>0</v>
      </c>
      <c r="N30" s="13"/>
      <c r="O30" s="13"/>
    </row>
    <row r="31" spans="1:15">
      <c r="A31" s="23"/>
      <c r="B31" s="24" t="s">
        <v>17</v>
      </c>
      <c r="C31" s="25"/>
      <c r="D31" s="26"/>
      <c r="E31" s="9">
        <f t="shared" si="0"/>
        <v>0</v>
      </c>
      <c r="F31" s="10">
        <f t="shared" si="8"/>
        <v>0</v>
      </c>
      <c r="G31" s="11" t="str">
        <f t="shared" si="2"/>
        <v>0:00</v>
      </c>
      <c r="H31" s="10">
        <f t="shared" si="7"/>
        <v>0</v>
      </c>
      <c r="I31" s="27"/>
      <c r="J31" s="12">
        <f t="shared" si="3"/>
        <v>0</v>
      </c>
      <c r="K31" s="13">
        <f t="shared" si="4"/>
        <v>0</v>
      </c>
      <c r="L31" s="13">
        <f t="shared" si="6"/>
        <v>0</v>
      </c>
      <c r="M31" s="13">
        <f t="shared" si="5"/>
        <v>0</v>
      </c>
      <c r="N31" s="13"/>
      <c r="O31" s="13"/>
    </row>
    <row r="32" spans="1:15">
      <c r="A32" s="23"/>
      <c r="B32" s="24"/>
      <c r="C32" s="28"/>
      <c r="D32" s="26"/>
      <c r="E32" s="9">
        <f t="shared" si="0"/>
        <v>0</v>
      </c>
      <c r="F32" s="10">
        <f t="shared" si="8"/>
        <v>0</v>
      </c>
      <c r="G32" s="11" t="str">
        <f t="shared" si="2"/>
        <v>0:00</v>
      </c>
      <c r="H32" s="10">
        <f t="shared" si="7"/>
        <v>0</v>
      </c>
      <c r="I32" s="27"/>
      <c r="J32" s="12">
        <f t="shared" si="3"/>
        <v>0</v>
      </c>
      <c r="K32" s="13">
        <f t="shared" si="4"/>
        <v>0</v>
      </c>
      <c r="L32" s="13">
        <f t="shared" si="6"/>
        <v>0</v>
      </c>
      <c r="M32" s="13">
        <f t="shared" si="5"/>
        <v>0</v>
      </c>
      <c r="N32" s="13"/>
      <c r="O32" s="13"/>
    </row>
    <row r="33" spans="1:15">
      <c r="A33" s="23"/>
      <c r="B33" s="24"/>
      <c r="C33" s="28"/>
      <c r="D33" s="26"/>
      <c r="E33" s="9">
        <f t="shared" si="0"/>
        <v>0</v>
      </c>
      <c r="F33" s="10">
        <f t="shared" si="8"/>
        <v>0</v>
      </c>
      <c r="G33" s="11" t="str">
        <f t="shared" si="2"/>
        <v>0:00</v>
      </c>
      <c r="H33" s="10">
        <f t="shared" si="7"/>
        <v>0</v>
      </c>
      <c r="I33" s="30"/>
      <c r="J33" s="12">
        <f t="shared" si="3"/>
        <v>0</v>
      </c>
      <c r="K33" s="13">
        <f t="shared" si="4"/>
        <v>0</v>
      </c>
      <c r="L33" s="13">
        <f t="shared" si="6"/>
        <v>0</v>
      </c>
      <c r="M33" s="13">
        <f t="shared" si="5"/>
        <v>0</v>
      </c>
      <c r="N33" s="13"/>
      <c r="O33" s="13"/>
    </row>
    <row r="34" spans="1:15">
      <c r="A34" s="23"/>
      <c r="B34" s="24"/>
      <c r="C34" s="28"/>
      <c r="D34" s="26"/>
      <c r="E34" s="9">
        <f t="shared" si="0"/>
        <v>0</v>
      </c>
      <c r="F34" s="10">
        <f t="shared" si="8"/>
        <v>0</v>
      </c>
      <c r="G34" s="11" t="str">
        <f t="shared" si="2"/>
        <v>0:00</v>
      </c>
      <c r="H34" s="10">
        <f t="shared" si="7"/>
        <v>0</v>
      </c>
      <c r="I34" s="27"/>
      <c r="J34" s="12">
        <f t="shared" si="3"/>
        <v>0</v>
      </c>
      <c r="K34" s="13">
        <f t="shared" si="4"/>
        <v>0</v>
      </c>
      <c r="L34" s="13">
        <f t="shared" si="6"/>
        <v>0</v>
      </c>
      <c r="M34" s="13">
        <f t="shared" si="5"/>
        <v>0</v>
      </c>
      <c r="N34" s="13"/>
      <c r="O34" s="13"/>
    </row>
    <row r="35" spans="1:15">
      <c r="A35" s="23"/>
      <c r="B35" s="24"/>
      <c r="C35" s="25"/>
      <c r="D35" s="26"/>
      <c r="E35" s="9">
        <f t="shared" si="0"/>
        <v>0</v>
      </c>
      <c r="F35" s="10">
        <f t="shared" si="8"/>
        <v>0</v>
      </c>
      <c r="G35" s="11" t="str">
        <f t="shared" si="2"/>
        <v>0:00</v>
      </c>
      <c r="H35" s="10">
        <f t="shared" si="7"/>
        <v>0</v>
      </c>
      <c r="I35" s="27"/>
      <c r="J35" s="12">
        <f t="shared" si="3"/>
        <v>0</v>
      </c>
      <c r="K35" s="13">
        <f t="shared" si="4"/>
        <v>0</v>
      </c>
      <c r="L35" s="13">
        <f t="shared" si="6"/>
        <v>0</v>
      </c>
      <c r="M35" s="13">
        <f t="shared" si="5"/>
        <v>0</v>
      </c>
      <c r="N35" s="13"/>
      <c r="O35" s="13"/>
    </row>
    <row r="36" spans="1:15">
      <c r="A36" s="23"/>
      <c r="B36" s="24"/>
      <c r="C36" s="25"/>
      <c r="D36" s="26"/>
      <c r="E36" s="9">
        <f t="shared" si="0"/>
        <v>0</v>
      </c>
      <c r="F36" s="10">
        <f t="shared" si="8"/>
        <v>0</v>
      </c>
      <c r="G36" s="11" t="str">
        <f t="shared" si="2"/>
        <v>0:00</v>
      </c>
      <c r="H36" s="10">
        <f t="shared" si="7"/>
        <v>0</v>
      </c>
      <c r="I36" s="27"/>
      <c r="J36" s="12">
        <f t="shared" si="3"/>
        <v>0</v>
      </c>
      <c r="K36" s="13">
        <f t="shared" si="4"/>
        <v>0</v>
      </c>
      <c r="L36" s="13">
        <f t="shared" si="6"/>
        <v>0</v>
      </c>
      <c r="M36" s="13">
        <f t="shared" si="5"/>
        <v>0</v>
      </c>
      <c r="N36" s="13"/>
      <c r="O36" s="13"/>
    </row>
    <row r="37" spans="1:15">
      <c r="A37" s="23"/>
      <c r="B37" s="24"/>
      <c r="C37" s="28"/>
      <c r="D37" s="26"/>
      <c r="E37" s="9">
        <f t="shared" si="0"/>
        <v>0</v>
      </c>
      <c r="F37" s="10">
        <f t="shared" si="8"/>
        <v>0</v>
      </c>
      <c r="G37" s="11" t="str">
        <f t="shared" si="2"/>
        <v>0:00</v>
      </c>
      <c r="H37" s="10">
        <f t="shared" si="7"/>
        <v>0</v>
      </c>
      <c r="I37" s="27"/>
      <c r="J37" s="12">
        <f t="shared" si="3"/>
        <v>0</v>
      </c>
      <c r="K37" s="13">
        <f t="shared" si="4"/>
        <v>0</v>
      </c>
      <c r="L37" s="13">
        <f t="shared" si="6"/>
        <v>0</v>
      </c>
      <c r="M37" s="13">
        <f t="shared" si="5"/>
        <v>0</v>
      </c>
      <c r="N37" s="13"/>
      <c r="O37" s="13"/>
    </row>
    <row r="38" spans="1:15">
      <c r="A38" s="23"/>
      <c r="B38" s="24"/>
      <c r="C38" s="28"/>
      <c r="D38" s="26"/>
      <c r="E38" s="9">
        <f t="shared" si="0"/>
        <v>0</v>
      </c>
      <c r="F38" s="10">
        <f t="shared" si="8"/>
        <v>0</v>
      </c>
      <c r="G38" s="11" t="str">
        <f t="shared" si="2"/>
        <v>0:00</v>
      </c>
      <c r="H38" s="10">
        <f t="shared" si="7"/>
        <v>0</v>
      </c>
      <c r="I38" s="27"/>
      <c r="J38" s="12">
        <f t="shared" si="3"/>
        <v>0</v>
      </c>
      <c r="K38" s="13">
        <f t="shared" si="4"/>
        <v>0</v>
      </c>
      <c r="L38" s="13">
        <f t="shared" si="6"/>
        <v>0</v>
      </c>
      <c r="M38" s="13">
        <f t="shared" si="5"/>
        <v>0</v>
      </c>
      <c r="N38" s="13"/>
      <c r="O38" s="13"/>
    </row>
    <row r="39" spans="1:15">
      <c r="A39" s="23"/>
      <c r="B39" s="24"/>
      <c r="C39" s="28"/>
      <c r="D39" s="26"/>
      <c r="E39" s="9">
        <f t="shared" si="0"/>
        <v>0</v>
      </c>
      <c r="F39" s="10">
        <f t="shared" si="8"/>
        <v>0</v>
      </c>
      <c r="G39" s="11" t="str">
        <f t="shared" si="2"/>
        <v>0:00</v>
      </c>
      <c r="H39" s="10">
        <f t="shared" si="7"/>
        <v>0</v>
      </c>
      <c r="I39" s="30"/>
      <c r="J39" s="12">
        <f t="shared" si="3"/>
        <v>0</v>
      </c>
      <c r="K39" s="13">
        <f t="shared" si="4"/>
        <v>0</v>
      </c>
      <c r="L39" s="13">
        <f t="shared" si="6"/>
        <v>0</v>
      </c>
      <c r="M39" s="13">
        <f t="shared" si="5"/>
        <v>0</v>
      </c>
      <c r="N39" s="13"/>
      <c r="O39" s="13"/>
    </row>
    <row r="40" spans="1:15">
      <c r="A40" s="23"/>
      <c r="B40" s="24"/>
      <c r="C40" s="28"/>
      <c r="D40" s="26"/>
      <c r="E40" s="9">
        <f t="shared" si="0"/>
        <v>0</v>
      </c>
      <c r="F40" s="10">
        <f t="shared" si="8"/>
        <v>0</v>
      </c>
      <c r="G40" s="11" t="str">
        <f t="shared" si="2"/>
        <v>0:00</v>
      </c>
      <c r="H40" s="10">
        <f t="shared" si="7"/>
        <v>0</v>
      </c>
      <c r="I40" s="30"/>
      <c r="J40" s="12">
        <f t="shared" si="3"/>
        <v>0</v>
      </c>
      <c r="K40" s="13">
        <f t="shared" si="4"/>
        <v>0</v>
      </c>
      <c r="L40" s="13">
        <f t="shared" si="6"/>
        <v>0</v>
      </c>
      <c r="M40" s="13">
        <f t="shared" si="5"/>
        <v>0</v>
      </c>
      <c r="N40" s="13"/>
      <c r="O40" s="13"/>
    </row>
    <row r="41" spans="1:15">
      <c r="A41" s="23"/>
      <c r="B41" s="24"/>
      <c r="C41" s="28"/>
      <c r="D41" s="26"/>
      <c r="E41" s="9">
        <f t="shared" si="0"/>
        <v>0</v>
      </c>
      <c r="F41" s="10">
        <f t="shared" si="8"/>
        <v>0</v>
      </c>
      <c r="G41" s="11" t="str">
        <f t="shared" si="2"/>
        <v>0:00</v>
      </c>
      <c r="H41" s="10">
        <f t="shared" si="7"/>
        <v>0</v>
      </c>
      <c r="I41" s="30"/>
      <c r="J41" s="12">
        <f t="shared" si="3"/>
        <v>0</v>
      </c>
      <c r="K41" s="13">
        <f t="shared" si="4"/>
        <v>0</v>
      </c>
      <c r="L41" s="13">
        <f t="shared" si="6"/>
        <v>0</v>
      </c>
      <c r="M41" s="13">
        <f t="shared" si="5"/>
        <v>0</v>
      </c>
      <c r="N41" s="13"/>
      <c r="O41" s="13"/>
    </row>
    <row r="42" spans="1:15">
      <c r="A42" s="23"/>
      <c r="B42" s="24"/>
      <c r="C42" s="28"/>
      <c r="D42" s="26"/>
      <c r="E42" s="9">
        <f t="shared" si="0"/>
        <v>0</v>
      </c>
      <c r="F42" s="10">
        <f t="shared" si="8"/>
        <v>0</v>
      </c>
      <c r="G42" s="11" t="str">
        <f t="shared" si="2"/>
        <v>0:00</v>
      </c>
      <c r="H42" s="10">
        <f t="shared" si="7"/>
        <v>0</v>
      </c>
      <c r="I42" s="30"/>
      <c r="J42" s="12">
        <f t="shared" si="3"/>
        <v>0</v>
      </c>
      <c r="K42" s="13">
        <f t="shared" si="4"/>
        <v>0</v>
      </c>
      <c r="L42" s="13">
        <f t="shared" si="6"/>
        <v>0</v>
      </c>
      <c r="M42" s="13">
        <f t="shared" si="5"/>
        <v>0</v>
      </c>
      <c r="N42" s="13"/>
      <c r="O42" s="13"/>
    </row>
    <row r="43" spans="1:15">
      <c r="A43" s="23"/>
      <c r="B43" s="24"/>
      <c r="C43" s="28"/>
      <c r="D43" s="26"/>
      <c r="E43" s="9">
        <f t="shared" si="0"/>
        <v>0</v>
      </c>
      <c r="F43" s="10">
        <f t="shared" si="8"/>
        <v>0</v>
      </c>
      <c r="G43" s="11" t="str">
        <f t="shared" si="2"/>
        <v>0:00</v>
      </c>
      <c r="H43" s="10">
        <f t="shared" si="7"/>
        <v>0</v>
      </c>
      <c r="I43" s="30"/>
      <c r="J43" s="12">
        <f t="shared" si="3"/>
        <v>0</v>
      </c>
      <c r="K43" s="13">
        <f t="shared" si="4"/>
        <v>0</v>
      </c>
      <c r="L43" s="13">
        <f t="shared" si="6"/>
        <v>0</v>
      </c>
      <c r="M43" s="13">
        <f t="shared" si="5"/>
        <v>0</v>
      </c>
      <c r="N43" s="13"/>
      <c r="O43" s="13"/>
    </row>
    <row r="44" spans="1:15">
      <c r="A44" s="23"/>
      <c r="B44" s="24"/>
      <c r="C44" s="28"/>
      <c r="D44" s="26"/>
      <c r="E44" s="9">
        <f t="shared" si="0"/>
        <v>0</v>
      </c>
      <c r="F44" s="10">
        <f t="shared" si="8"/>
        <v>0</v>
      </c>
      <c r="G44" s="11" t="str">
        <f t="shared" si="2"/>
        <v>0:00</v>
      </c>
      <c r="H44" s="10">
        <f t="shared" si="7"/>
        <v>0</v>
      </c>
      <c r="I44" s="30"/>
      <c r="J44" s="12">
        <f t="shared" si="3"/>
        <v>0</v>
      </c>
      <c r="K44" s="13">
        <f t="shared" si="4"/>
        <v>0</v>
      </c>
      <c r="L44" s="13">
        <f t="shared" si="6"/>
        <v>0</v>
      </c>
      <c r="M44" s="13">
        <f t="shared" si="5"/>
        <v>0</v>
      </c>
      <c r="N44" s="13"/>
      <c r="O44" s="13"/>
    </row>
    <row r="45" spans="1:15">
      <c r="A45" s="23"/>
      <c r="B45" s="24"/>
      <c r="C45" s="28"/>
      <c r="D45" s="26"/>
      <c r="E45" s="9">
        <f t="shared" si="0"/>
        <v>0</v>
      </c>
      <c r="F45" s="10">
        <f t="shared" si="8"/>
        <v>0</v>
      </c>
      <c r="G45" s="11" t="str">
        <f t="shared" si="2"/>
        <v>0:00</v>
      </c>
      <c r="H45" s="10">
        <f t="shared" si="7"/>
        <v>0</v>
      </c>
      <c r="I45" s="30"/>
      <c r="J45" s="12">
        <f t="shared" si="3"/>
        <v>0</v>
      </c>
      <c r="K45" s="13">
        <f t="shared" si="4"/>
        <v>0</v>
      </c>
      <c r="L45" s="13">
        <f t="shared" si="6"/>
        <v>0</v>
      </c>
      <c r="M45" s="13">
        <f t="shared" si="5"/>
        <v>0</v>
      </c>
      <c r="N45" s="13"/>
      <c r="O45" s="13"/>
    </row>
    <row r="46" spans="1:15">
      <c r="A46" s="23"/>
      <c r="B46" s="24"/>
      <c r="C46" s="28"/>
      <c r="D46" s="26"/>
      <c r="E46" s="9">
        <f t="shared" si="0"/>
        <v>0</v>
      </c>
      <c r="F46" s="10">
        <f t="shared" si="8"/>
        <v>0</v>
      </c>
      <c r="G46" s="11" t="str">
        <f t="shared" si="2"/>
        <v>0:00</v>
      </c>
      <c r="H46" s="10">
        <f t="shared" si="7"/>
        <v>0</v>
      </c>
      <c r="I46" s="30"/>
      <c r="J46" s="12">
        <f t="shared" si="3"/>
        <v>0</v>
      </c>
      <c r="K46" s="13">
        <f t="shared" si="4"/>
        <v>0</v>
      </c>
      <c r="L46" s="13">
        <f t="shared" si="6"/>
        <v>0</v>
      </c>
      <c r="M46" s="13">
        <f t="shared" si="5"/>
        <v>0</v>
      </c>
      <c r="N46" s="13"/>
      <c r="O46" s="13"/>
    </row>
    <row r="47" spans="1:15">
      <c r="A47" s="23"/>
      <c r="B47" s="24"/>
      <c r="C47" s="28"/>
      <c r="D47" s="26"/>
      <c r="E47" s="9">
        <f t="shared" si="0"/>
        <v>0</v>
      </c>
      <c r="F47" s="10">
        <f t="shared" si="8"/>
        <v>0</v>
      </c>
      <c r="G47" s="11" t="str">
        <f t="shared" si="2"/>
        <v>0:00</v>
      </c>
      <c r="H47" s="10">
        <f t="shared" si="7"/>
        <v>0</v>
      </c>
      <c r="I47" s="30"/>
      <c r="J47" s="12">
        <f t="shared" si="3"/>
        <v>0</v>
      </c>
      <c r="K47" s="13">
        <f t="shared" si="4"/>
        <v>0</v>
      </c>
      <c r="L47" s="13">
        <f t="shared" si="6"/>
        <v>0</v>
      </c>
      <c r="M47" s="13">
        <f t="shared" si="5"/>
        <v>0</v>
      </c>
      <c r="N47" s="13"/>
      <c r="O47" s="13"/>
    </row>
    <row r="48" spans="1:15">
      <c r="A48" s="23"/>
      <c r="B48" s="24"/>
      <c r="C48" s="28"/>
      <c r="D48" s="26"/>
      <c r="E48" s="9">
        <f t="shared" si="0"/>
        <v>0</v>
      </c>
      <c r="F48" s="10">
        <f t="shared" si="8"/>
        <v>0</v>
      </c>
      <c r="G48" s="11" t="str">
        <f t="shared" si="2"/>
        <v>0:00</v>
      </c>
      <c r="H48" s="10">
        <f t="shared" si="7"/>
        <v>0</v>
      </c>
      <c r="I48" s="30"/>
      <c r="J48" s="12">
        <f t="shared" si="3"/>
        <v>0</v>
      </c>
      <c r="K48" s="13">
        <f t="shared" si="4"/>
        <v>0</v>
      </c>
      <c r="L48" s="13">
        <f t="shared" si="6"/>
        <v>0</v>
      </c>
      <c r="M48" s="13">
        <f t="shared" si="5"/>
        <v>0</v>
      </c>
      <c r="N48" s="13"/>
      <c r="O48" s="13"/>
    </row>
    <row r="49" spans="1:15">
      <c r="A49" s="23"/>
      <c r="B49" s="24"/>
      <c r="C49" s="28"/>
      <c r="D49" s="26"/>
      <c r="E49" s="9">
        <f t="shared" si="0"/>
        <v>0</v>
      </c>
      <c r="F49" s="10">
        <f t="shared" si="8"/>
        <v>0</v>
      </c>
      <c r="G49" s="11" t="str">
        <f t="shared" si="2"/>
        <v>0:00</v>
      </c>
      <c r="H49" s="10">
        <f t="shared" si="7"/>
        <v>0</v>
      </c>
      <c r="I49" s="30"/>
      <c r="J49" s="12">
        <f t="shared" si="3"/>
        <v>0</v>
      </c>
      <c r="K49" s="13">
        <f t="shared" si="4"/>
        <v>0</v>
      </c>
      <c r="L49" s="13">
        <f t="shared" si="6"/>
        <v>0</v>
      </c>
      <c r="M49" s="13">
        <f t="shared" si="5"/>
        <v>0</v>
      </c>
      <c r="N49" s="13"/>
      <c r="O49" s="13"/>
    </row>
    <row r="50" spans="1:15">
      <c r="A50" s="23"/>
      <c r="B50" s="24"/>
      <c r="C50" s="25"/>
      <c r="D50" s="26"/>
      <c r="E50" s="9">
        <f t="shared" si="0"/>
        <v>0</v>
      </c>
      <c r="F50" s="10">
        <f t="shared" si="8"/>
        <v>0</v>
      </c>
      <c r="G50" s="11" t="str">
        <f t="shared" si="2"/>
        <v>0:00</v>
      </c>
      <c r="H50" s="10">
        <f t="shared" si="7"/>
        <v>0</v>
      </c>
      <c r="I50" s="29"/>
      <c r="J50" s="12">
        <f t="shared" si="3"/>
        <v>0</v>
      </c>
      <c r="K50" s="13">
        <f t="shared" si="4"/>
        <v>0</v>
      </c>
      <c r="L50" s="13">
        <f t="shared" si="6"/>
        <v>0</v>
      </c>
      <c r="M50" s="13">
        <f t="shared" si="5"/>
        <v>0</v>
      </c>
      <c r="N50" s="13"/>
      <c r="O50" s="13"/>
    </row>
    <row r="51" spans="1:15">
      <c r="A51" s="23"/>
      <c r="B51" s="24"/>
      <c r="C51" s="25"/>
      <c r="D51" s="26"/>
      <c r="E51" s="9">
        <f t="shared" si="0"/>
        <v>0</v>
      </c>
      <c r="F51" s="10">
        <f t="shared" si="8"/>
        <v>0</v>
      </c>
      <c r="G51" s="11" t="str">
        <f t="shared" si="2"/>
        <v>0:00</v>
      </c>
      <c r="H51" s="10">
        <f t="shared" si="7"/>
        <v>0</v>
      </c>
      <c r="I51" s="29"/>
      <c r="J51" s="12">
        <f t="shared" si="3"/>
        <v>0</v>
      </c>
      <c r="K51" s="13">
        <f t="shared" si="4"/>
        <v>0</v>
      </c>
      <c r="L51" s="13">
        <f t="shared" si="6"/>
        <v>0</v>
      </c>
      <c r="M51" s="13">
        <f t="shared" si="5"/>
        <v>0</v>
      </c>
      <c r="N51" s="13"/>
      <c r="O51" s="13"/>
    </row>
    <row r="52" spans="1:15">
      <c r="A52" s="23"/>
      <c r="B52" s="24"/>
      <c r="C52" s="25"/>
      <c r="D52" s="26"/>
      <c r="E52" s="9">
        <f t="shared" si="0"/>
        <v>0</v>
      </c>
      <c r="F52" s="10">
        <f t="shared" si="8"/>
        <v>0</v>
      </c>
      <c r="G52" s="11" t="str">
        <f t="shared" si="2"/>
        <v>0:00</v>
      </c>
      <c r="H52" s="10">
        <f t="shared" si="7"/>
        <v>0</v>
      </c>
      <c r="I52" s="29"/>
      <c r="J52" s="12">
        <f t="shared" si="3"/>
        <v>0</v>
      </c>
      <c r="K52" s="13">
        <f t="shared" si="4"/>
        <v>0</v>
      </c>
      <c r="L52" s="13">
        <f t="shared" si="6"/>
        <v>0</v>
      </c>
      <c r="M52" s="13">
        <f t="shared" si="5"/>
        <v>0</v>
      </c>
      <c r="N52" s="13"/>
      <c r="O52" s="13"/>
    </row>
    <row r="53" spans="1:15">
      <c r="A53" s="23"/>
      <c r="B53" s="24"/>
      <c r="C53" s="25"/>
      <c r="D53" s="26"/>
      <c r="E53" s="9">
        <f t="shared" si="0"/>
        <v>0</v>
      </c>
      <c r="F53" s="10">
        <f t="shared" si="8"/>
        <v>0</v>
      </c>
      <c r="G53" s="11" t="str">
        <f t="shared" si="2"/>
        <v>0:00</v>
      </c>
      <c r="H53" s="10">
        <f t="shared" si="7"/>
        <v>0</v>
      </c>
      <c r="I53" s="29"/>
      <c r="J53" s="12">
        <f t="shared" si="3"/>
        <v>0</v>
      </c>
      <c r="K53" s="13">
        <f t="shared" si="4"/>
        <v>0</v>
      </c>
      <c r="L53" s="13">
        <f t="shared" si="6"/>
        <v>0</v>
      </c>
      <c r="M53" s="13">
        <f t="shared" si="5"/>
        <v>0</v>
      </c>
      <c r="N53" s="13"/>
      <c r="O53" s="13"/>
    </row>
    <row r="54" spans="1:15">
      <c r="A54" s="23"/>
      <c r="B54" s="24"/>
      <c r="C54" s="25"/>
      <c r="D54" s="26"/>
      <c r="E54" s="9">
        <f t="shared" si="0"/>
        <v>0</v>
      </c>
      <c r="F54" s="10">
        <f t="shared" si="8"/>
        <v>0</v>
      </c>
      <c r="G54" s="11" t="str">
        <f t="shared" si="2"/>
        <v>0:00</v>
      </c>
      <c r="H54" s="10">
        <f t="shared" si="7"/>
        <v>0</v>
      </c>
      <c r="I54" s="29"/>
      <c r="J54" s="12">
        <f t="shared" si="3"/>
        <v>0</v>
      </c>
      <c r="K54" s="13">
        <f t="shared" si="4"/>
        <v>0</v>
      </c>
      <c r="L54" s="13">
        <f t="shared" si="6"/>
        <v>0</v>
      </c>
      <c r="M54" s="13">
        <f t="shared" si="5"/>
        <v>0</v>
      </c>
      <c r="N54" s="13"/>
      <c r="O54" s="13"/>
    </row>
    <row r="55" spans="1:15">
      <c r="A55" s="23"/>
      <c r="B55" s="24"/>
      <c r="C55" s="25"/>
      <c r="D55" s="26"/>
      <c r="E55" s="9">
        <f t="shared" si="0"/>
        <v>0</v>
      </c>
      <c r="F55" s="10">
        <f t="shared" si="8"/>
        <v>0</v>
      </c>
      <c r="G55" s="11" t="str">
        <f t="shared" si="2"/>
        <v>0:00</v>
      </c>
      <c r="H55" s="10">
        <f t="shared" si="7"/>
        <v>0</v>
      </c>
      <c r="I55" s="29"/>
      <c r="J55" s="12">
        <f t="shared" si="3"/>
        <v>0</v>
      </c>
      <c r="K55" s="13">
        <f t="shared" si="4"/>
        <v>0</v>
      </c>
      <c r="L55" s="13">
        <f t="shared" si="6"/>
        <v>0</v>
      </c>
      <c r="M55" s="13">
        <f t="shared" si="5"/>
        <v>0</v>
      </c>
      <c r="N55" s="13"/>
      <c r="O55" s="13"/>
    </row>
    <row r="56" spans="1:15">
      <c r="A56" s="23"/>
      <c r="B56" s="24"/>
      <c r="C56" s="25"/>
      <c r="D56" s="26"/>
      <c r="E56" s="9">
        <f t="shared" si="0"/>
        <v>0</v>
      </c>
      <c r="F56" s="10">
        <f t="shared" si="8"/>
        <v>0</v>
      </c>
      <c r="G56" s="11" t="str">
        <f t="shared" si="2"/>
        <v>0:00</v>
      </c>
      <c r="H56" s="10">
        <f t="shared" si="7"/>
        <v>0</v>
      </c>
      <c r="I56" s="29"/>
      <c r="J56" s="12">
        <f t="shared" si="3"/>
        <v>0</v>
      </c>
      <c r="K56" s="13">
        <f t="shared" si="4"/>
        <v>0</v>
      </c>
      <c r="L56" s="13">
        <f t="shared" si="6"/>
        <v>0</v>
      </c>
      <c r="M56" s="13">
        <f t="shared" si="5"/>
        <v>0</v>
      </c>
      <c r="N56" s="13"/>
      <c r="O56" s="13"/>
    </row>
    <row r="57" spans="1:15">
      <c r="A57" s="23"/>
      <c r="B57" s="24"/>
      <c r="C57" s="28"/>
      <c r="D57" s="26"/>
      <c r="E57" s="9">
        <f t="shared" si="0"/>
        <v>0</v>
      </c>
      <c r="F57" s="10">
        <f t="shared" si="8"/>
        <v>0</v>
      </c>
      <c r="G57" s="11" t="str">
        <f t="shared" si="2"/>
        <v>0:00</v>
      </c>
      <c r="H57" s="10">
        <f t="shared" si="7"/>
        <v>0</v>
      </c>
      <c r="I57" s="29"/>
      <c r="J57" s="12">
        <f t="shared" si="3"/>
        <v>0</v>
      </c>
      <c r="K57" s="13">
        <f t="shared" si="4"/>
        <v>0</v>
      </c>
      <c r="L57" s="13">
        <f t="shared" si="6"/>
        <v>0</v>
      </c>
      <c r="M57" s="13">
        <f t="shared" si="5"/>
        <v>0</v>
      </c>
      <c r="N57" s="13"/>
      <c r="O57" s="13"/>
    </row>
    <row r="58" spans="1:15">
      <c r="A58" s="23"/>
      <c r="B58" s="24"/>
      <c r="C58" s="28"/>
      <c r="D58" s="26"/>
      <c r="E58" s="9">
        <f t="shared" si="0"/>
        <v>0</v>
      </c>
      <c r="F58" s="10">
        <f t="shared" si="8"/>
        <v>0</v>
      </c>
      <c r="G58" s="11" t="str">
        <f t="shared" si="2"/>
        <v>0:00</v>
      </c>
      <c r="H58" s="10">
        <f t="shared" si="7"/>
        <v>0</v>
      </c>
      <c r="I58" s="29"/>
      <c r="J58" s="12">
        <f t="shared" si="3"/>
        <v>0</v>
      </c>
      <c r="K58" s="13">
        <f t="shared" si="4"/>
        <v>0</v>
      </c>
      <c r="L58" s="13">
        <f t="shared" si="6"/>
        <v>0</v>
      </c>
      <c r="M58" s="13">
        <f t="shared" si="5"/>
        <v>0</v>
      </c>
      <c r="N58" s="13"/>
      <c r="O58" s="13"/>
    </row>
    <row r="59" spans="1:15">
      <c r="A59" s="23"/>
      <c r="B59" s="24"/>
      <c r="C59" s="28"/>
      <c r="D59" s="26"/>
      <c r="E59" s="9">
        <f t="shared" si="0"/>
        <v>0</v>
      </c>
      <c r="F59" s="10">
        <f t="shared" si="8"/>
        <v>0</v>
      </c>
      <c r="G59" s="11" t="str">
        <f t="shared" si="2"/>
        <v>0:00</v>
      </c>
      <c r="H59" s="10">
        <f t="shared" si="7"/>
        <v>0</v>
      </c>
      <c r="I59" s="29"/>
      <c r="J59" s="12">
        <f t="shared" si="3"/>
        <v>0</v>
      </c>
      <c r="K59" s="13">
        <f t="shared" si="4"/>
        <v>0</v>
      </c>
      <c r="L59" s="13">
        <f t="shared" si="6"/>
        <v>0</v>
      </c>
      <c r="M59" s="13">
        <f t="shared" si="5"/>
        <v>0</v>
      </c>
      <c r="N59" s="13"/>
      <c r="O59" s="13"/>
    </row>
    <row r="60" spans="1:15">
      <c r="A60" s="23"/>
      <c r="B60" s="24"/>
      <c r="C60" s="28"/>
      <c r="D60" s="26"/>
      <c r="E60" s="9">
        <f t="shared" si="0"/>
        <v>0</v>
      </c>
      <c r="F60" s="10">
        <f>IF(M60&gt;=$A$13,$A$13,M60)</f>
        <v>0</v>
      </c>
      <c r="G60" s="11" t="str">
        <f t="shared" si="2"/>
        <v>0:00</v>
      </c>
      <c r="H60" s="10">
        <f t="shared" si="7"/>
        <v>0</v>
      </c>
      <c r="I60" s="29"/>
      <c r="J60" s="12">
        <f t="shared" si="3"/>
        <v>0</v>
      </c>
      <c r="K60" s="13">
        <f t="shared" si="4"/>
        <v>0</v>
      </c>
      <c r="L60" s="13">
        <f t="shared" si="6"/>
        <v>0</v>
      </c>
      <c r="M60" s="13">
        <f t="shared" si="5"/>
        <v>0</v>
      </c>
      <c r="N60" s="13"/>
      <c r="O60" s="13"/>
    </row>
    <row r="61" spans="1:15">
      <c r="A61" s="44" t="s">
        <v>33</v>
      </c>
      <c r="B61" s="44"/>
      <c r="C61" s="44"/>
      <c r="D61" s="44"/>
      <c r="E61" s="14">
        <f t="shared" ref="E61:H61" si="9">SUM(E16:E60)</f>
        <v>0.13055555555555554</v>
      </c>
      <c r="F61" s="14">
        <f t="shared" si="9"/>
        <v>9.722222222222221E-2</v>
      </c>
      <c r="G61" s="14">
        <f t="shared" si="9"/>
        <v>3.3333333333333326E-2</v>
      </c>
      <c r="H61" s="14">
        <f t="shared" si="9"/>
        <v>0</v>
      </c>
      <c r="I61" s="18"/>
    </row>
    <row r="62" spans="1:15">
      <c r="A62" s="31"/>
      <c r="B62" s="31"/>
      <c r="C62" s="31"/>
      <c r="D62" s="31"/>
      <c r="E62" s="32"/>
      <c r="F62" s="32"/>
      <c r="G62" s="32"/>
      <c r="H62" s="32"/>
      <c r="I62" s="18"/>
    </row>
    <row r="63" spans="1:15">
      <c r="A63" s="31"/>
      <c r="B63" s="31"/>
      <c r="C63" s="31"/>
      <c r="D63" s="31"/>
      <c r="E63" s="32"/>
      <c r="F63" s="32"/>
      <c r="G63" s="32"/>
      <c r="H63" s="32"/>
      <c r="I63" s="18"/>
    </row>
    <row r="64" spans="1:15">
      <c r="A64" s="31"/>
      <c r="B64" s="31"/>
      <c r="C64" s="31"/>
      <c r="D64" s="31"/>
      <c r="E64" s="32"/>
      <c r="F64" s="32"/>
      <c r="G64" s="32"/>
      <c r="H64" s="32"/>
      <c r="I64" s="18"/>
    </row>
    <row r="65" spans="1:9">
      <c r="A65" s="31"/>
      <c r="B65" s="31"/>
      <c r="C65" s="31"/>
      <c r="D65" s="31"/>
      <c r="E65" s="32"/>
      <c r="F65" s="32"/>
      <c r="G65" s="32"/>
      <c r="H65" s="33"/>
      <c r="I65" s="34"/>
    </row>
    <row r="66" spans="1:9">
      <c r="A66" s="31"/>
      <c r="B66" s="31"/>
      <c r="C66" s="31"/>
      <c r="D66" s="31"/>
      <c r="E66" s="32"/>
      <c r="F66" s="32"/>
      <c r="G66" s="32"/>
      <c r="H66" s="45" t="s">
        <v>34</v>
      </c>
      <c r="I66" s="45"/>
    </row>
    <row r="67" spans="1:9">
      <c r="A67" s="31"/>
      <c r="B67" s="31"/>
      <c r="C67" s="31"/>
      <c r="D67" s="31"/>
      <c r="E67" s="32"/>
      <c r="F67" s="32"/>
      <c r="G67" s="32"/>
      <c r="H67" s="32"/>
      <c r="I67" s="18"/>
    </row>
    <row r="68" spans="1:9">
      <c r="A68" s="31"/>
      <c r="B68" s="31"/>
      <c r="C68" s="31"/>
      <c r="D68" s="31"/>
      <c r="E68" s="32"/>
      <c r="F68" s="32"/>
      <c r="G68" s="32"/>
      <c r="H68" s="32"/>
      <c r="I68" s="18"/>
    </row>
    <row r="69" spans="1:9">
      <c r="A69" s="35"/>
      <c r="B69" s="35"/>
      <c r="C69" s="36"/>
      <c r="D69" s="37"/>
      <c r="E69" s="38"/>
      <c r="F69" s="39"/>
      <c r="G69" s="39"/>
      <c r="H69" s="18"/>
      <c r="I69" s="18"/>
    </row>
    <row r="70" spans="1:9">
      <c r="A70" s="38"/>
      <c r="B70" s="38"/>
      <c r="C70" s="36"/>
      <c r="D70" s="36"/>
      <c r="E70" s="46"/>
      <c r="F70" s="46"/>
      <c r="G70" s="40"/>
      <c r="H70" s="16"/>
      <c r="I70" s="41"/>
    </row>
  </sheetData>
  <sheetProtection password="C47D" sheet="1" objects="1" scenarios="1" selectLockedCells="1"/>
  <mergeCells count="14">
    <mergeCell ref="I14:I15"/>
    <mergeCell ref="A61:D61"/>
    <mergeCell ref="H66:I66"/>
    <mergeCell ref="E70:F70"/>
    <mergeCell ref="A1:I4"/>
    <mergeCell ref="B8:F8"/>
    <mergeCell ref="B9:F9"/>
    <mergeCell ref="B11:F11"/>
    <mergeCell ref="A14:A15"/>
    <mergeCell ref="B14:B15"/>
    <mergeCell ref="C14:E14"/>
    <mergeCell ref="F14:F15"/>
    <mergeCell ref="G14:G15"/>
    <mergeCell ref="H14:H15"/>
  </mergeCells>
  <dataValidations count="2">
    <dataValidation type="list" allowBlank="1" showInputMessage="1" showErrorMessage="1" sqref="I9" xr:uid="{00000000-0002-0000-0000-000000000000}">
      <formula1>$J$8:$J$11</formula1>
    </dataValidation>
    <dataValidation type="list" allowBlank="1" showInputMessage="1" showErrorMessage="1" sqref="B16:B60" xr:uid="{00000000-0002-0000-0000-000001000000}">
      <formula1>$J$12:$J$13</formula1>
    </dataValidation>
  </dataValidations>
  <printOptions horizontalCentered="1"/>
  <pageMargins left="0.51181102362204722" right="0.51181102362204722" top="0.39370078740157483" bottom="0.39370078740157483" header="0.39370078740157483" footer="0.39370078740157483"/>
  <pageSetup paperSize="9" scale="69" orientation="portrait" r:id="rId1"/>
  <headerFooter scaleWithDoc="0">
    <oddFooter>&amp;LAutorização de Horas Extras&amp;CFP.CP.11.02    20/06/2014     Revisão 04&amp;RPágina &amp;P de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8a12392-69f5-46a0-923b-75f4d91e6fa0">M5MKVF6H66W2-1886548904-35275</_dlc_DocId>
    <_dlc_DocIdUrl xmlns="b8a12392-69f5-46a0-923b-75f4d91e6fa0">
      <Url>https://sistemafieto.sharepoint.com/sites/Arquivos-CetecPalmas/_layouts/15/DocIdRedir.aspx?ID=M5MKVF6H66W2-1886548904-35275</Url>
      <Description>M5MKVF6H66W2-1886548904-35275</Description>
    </_dlc_DocIdUrl>
    <TaxCatchAll xmlns="b8a12392-69f5-46a0-923b-75f4d91e6fa0" xsi:nil="true"/>
    <lcf76f155ced4ddcb4097134ff3c332f xmlns="dbc7409d-7077-45cd-bea9-3ce50038526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BB66B92E2369449C56DED868E130F3" ma:contentTypeVersion="13" ma:contentTypeDescription="Crie um novo documento." ma:contentTypeScope="" ma:versionID="7fa84da19bd5cf6f252dfa2b30be1e29">
  <xsd:schema xmlns:xsd="http://www.w3.org/2001/XMLSchema" xmlns:xs="http://www.w3.org/2001/XMLSchema" xmlns:p="http://schemas.microsoft.com/office/2006/metadata/properties" xmlns:ns2="b8a12392-69f5-46a0-923b-75f4d91e6fa0" xmlns:ns3="dbc7409d-7077-45cd-bea9-3ce50038526a" targetNamespace="http://schemas.microsoft.com/office/2006/metadata/properties" ma:root="true" ma:fieldsID="608d48301936175bfef0a754fe49004e" ns2:_="" ns3:_="">
    <xsd:import namespace="b8a12392-69f5-46a0-923b-75f4d91e6fa0"/>
    <xsd:import namespace="dbc7409d-7077-45cd-bea9-3ce50038526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12392-69f5-46a0-923b-75f4d91e6fa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1" nillable="true" ma:displayName="Taxonomy Catch All Column" ma:hidden="true" ma:list="{93e404fc-0173-447a-ac38-9bf323d56bed}" ma:internalName="TaxCatchAll" ma:showField="CatchAllData" ma:web="b8a12392-69f5-46a0-923b-75f4d91e6f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c7409d-7077-45cd-bea9-3ce5003852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04e30faa-9e78-421e-9844-dd5c30f53d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F25BF5A-B2C0-4070-93D4-9C234BAD7A93}"/>
</file>

<file path=customXml/itemProps2.xml><?xml version="1.0" encoding="utf-8"?>
<ds:datastoreItem xmlns:ds="http://schemas.openxmlformats.org/officeDocument/2006/customXml" ds:itemID="{6C3B1832-7FFC-4344-A92E-BD5755C69735}"/>
</file>

<file path=customXml/itemProps3.xml><?xml version="1.0" encoding="utf-8"?>
<ds:datastoreItem xmlns:ds="http://schemas.openxmlformats.org/officeDocument/2006/customXml" ds:itemID="{18E6A805-72AE-421E-BD29-ED52894557C4}"/>
</file>

<file path=customXml/itemProps4.xml><?xml version="1.0" encoding="utf-8"?>
<ds:datastoreItem xmlns:ds="http://schemas.openxmlformats.org/officeDocument/2006/customXml" ds:itemID="{21B60BF1-1B1E-42F9-8013-39455B115D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Sistema Fieto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angelimorais</dc:creator>
  <cp:keywords/>
  <dc:description/>
  <cp:lastModifiedBy/>
  <cp:revision/>
  <dcterms:created xsi:type="dcterms:W3CDTF">2014-04-16T17:14:56Z</dcterms:created>
  <dcterms:modified xsi:type="dcterms:W3CDTF">2026-06-04T16:18:37Z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0x010100BCBB66B92E2369449C56DED868E130F3</vt:lpwstr>
  </property>
  <property fmtid="{D5CDD505-2E9C-101B-9397-08002B2CF9AE}" pid="3" name="Order">
    <vt:r8>1602000</vt:r8>
  </property>
  <property fmtid="{D5CDD505-2E9C-101B-9397-08002B2CF9AE}" pid="4" name="_dlc_DocIdItemGuid">
    <vt:lpwstr>9ba296b9-7829-4f69-a24f-465a7adff9de</vt:lpwstr>
  </property>
  <property fmtid="{D5CDD505-2E9C-101B-9397-08002B2CF9AE}" pid="5" name="MediaServiceImageTags">
    <vt:lpwstr/>
  </property>
</Properties>
</file>